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206101645b8f516/Dokumente/PostDoc/workplacethings/"/>
    </mc:Choice>
  </mc:AlternateContent>
  <xr:revisionPtr revIDLastSave="25" documentId="8_{C0925E90-D0AC-4930-990F-3C0799E02C23}" xr6:coauthVersionLast="47" xr6:coauthVersionMax="47" xr10:uidLastSave="{5F3C84AE-841D-4C5E-9BB2-A66F8F339227}"/>
  <bookViews>
    <workbookView xWindow="-120" yWindow="-120" windowWidth="29040" windowHeight="17520" activeTab="1" xr2:uid="{0D5D8088-3E48-4D91-BF5E-F690E195ECBA}"/>
  </bookViews>
  <sheets>
    <sheet name="Schichten" sheetId="2" r:id="rId1"/>
    <sheet name="Zusatzinformationen" sheetId="3" r:id="rId2"/>
    <sheet name="Arbeitsstunden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1" l="1"/>
  <c r="F17" i="1"/>
  <c r="F18" i="1"/>
  <c r="F19" i="1"/>
  <c r="F20" i="1"/>
  <c r="F16" i="1"/>
  <c r="D4" i="1"/>
  <c r="D5" i="1" s="1"/>
  <c r="F26" i="1" l="1"/>
  <c r="F29" i="1" l="1"/>
  <c r="F30" i="1" s="1"/>
  <c r="F27" i="1"/>
</calcChain>
</file>

<file path=xl/sharedStrings.xml><?xml version="1.0" encoding="utf-8"?>
<sst xmlns="http://schemas.openxmlformats.org/spreadsheetml/2006/main" count="74" uniqueCount="52">
  <si>
    <t>Monat</t>
  </si>
  <si>
    <t>Ideal</t>
  </si>
  <si>
    <t>Wochenstunden</t>
  </si>
  <si>
    <t>Tagessatz</t>
  </si>
  <si>
    <t>Monatsstunden</t>
  </si>
  <si>
    <t>WE-Nacht (12h)</t>
  </si>
  <si>
    <t>Nacht (9h)</t>
  </si>
  <si>
    <t>SUMME</t>
  </si>
  <si>
    <t>Wochen Arbeit</t>
  </si>
  <si>
    <t>Wochen Urlaub</t>
  </si>
  <si>
    <t>Länge der Dienste/ Urlaubsstunden</t>
  </si>
  <si>
    <t>Stunden im Monat ohne Urlaub/Überstunden</t>
  </si>
  <si>
    <t>Stunden pro gearbeitete Woche</t>
  </si>
  <si>
    <t>Urlaubsstunden (Urlaubstage * 8.5)</t>
  </si>
  <si>
    <t>Stunden im Monat inkl. Urlaub</t>
  </si>
  <si>
    <t>Stunden pro Woche (inkl. Urlaub)</t>
  </si>
  <si>
    <t>Stunden</t>
  </si>
  <si>
    <t>Urlaub</t>
  </si>
  <si>
    <t>Früh</t>
  </si>
  <si>
    <t>Mittel</t>
  </si>
  <si>
    <t>Spät</t>
  </si>
  <si>
    <t>WE Tag</t>
  </si>
  <si>
    <t>WE Mittel</t>
  </si>
  <si>
    <t>Anzahl Tage</t>
  </si>
  <si>
    <t>Anzahl Stunden</t>
  </si>
  <si>
    <t>Feiertag</t>
  </si>
  <si>
    <t>Ausgleichsfrei</t>
  </si>
  <si>
    <t>shift</t>
  </si>
  <si>
    <t>duration</t>
  </si>
  <si>
    <t>start</t>
  </si>
  <si>
    <t>end</t>
  </si>
  <si>
    <t>Nacht</t>
  </si>
  <si>
    <t>WE-Tag</t>
  </si>
  <si>
    <t>WE-Mittel</t>
  </si>
  <si>
    <t>WE-Nacht</t>
  </si>
  <si>
    <t>rotation</t>
  </si>
  <si>
    <t>winter</t>
  </si>
  <si>
    <t>Mar</t>
  </si>
  <si>
    <t>Sep</t>
  </si>
  <si>
    <t>Oct</t>
  </si>
  <si>
    <t>Nov</t>
  </si>
  <si>
    <t>Dec</t>
  </si>
  <si>
    <t>Jan</t>
  </si>
  <si>
    <t>Feb</t>
  </si>
  <si>
    <t>contract_hours</t>
  </si>
  <si>
    <t>Beispielschicht 1</t>
  </si>
  <si>
    <t>Beispielschicht 2</t>
  </si>
  <si>
    <t>Beispielschicht 3</t>
  </si>
  <si>
    <t>Month</t>
  </si>
  <si>
    <t>Overtime Hours</t>
  </si>
  <si>
    <t>working_weeks</t>
  </si>
  <si>
    <t>vacation_weeks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</si>
</sst>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 vertical="center"/>
    </xf>
    <xf numFmtId="17" fontId="1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1" fillId="0" borderId="1" xfId="0" applyFont="1" applyBorder="1"/>
    <xf numFmtId="0" fontId="0" fillId="0" borderId="9" xfId="0" applyBorder="1"/>
    <xf numFmtId="0" fontId="1" fillId="0" borderId="8" xfId="0" applyFont="1" applyBorder="1"/>
    <xf numFmtId="0" fontId="1" fillId="0" borderId="4" xfId="0" applyFont="1" applyBorder="1"/>
    <xf numFmtId="0" fontId="0" fillId="0" borderId="8" xfId="0" applyBorder="1"/>
    <xf numFmtId="0" fontId="1" fillId="0" borderId="6" xfId="0" applyFont="1" applyBorder="1"/>
    <xf numFmtId="0" fontId="1" fillId="0" borderId="0" xfId="0" applyFont="1"/>
    <xf numFmtId="0" fontId="0" fillId="3" borderId="0" xfId="0" applyFill="1"/>
    <xf numFmtId="0" fontId="0" fillId="0" borderId="10" xfId="0" applyBorder="1"/>
    <xf numFmtId="20" fontId="0" fillId="0" borderId="11" xfId="0" applyNumberFormat="1" applyBorder="1"/>
    <xf numFmtId="0" fontId="0" fillId="0" borderId="12" xfId="0" applyBorder="1"/>
    <xf numFmtId="20" fontId="0" fillId="0" borderId="0" xfId="0" applyNumberFormat="1"/>
    <xf numFmtId="20" fontId="0" fillId="0" borderId="13" xfId="0" applyNumberFormat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20" fontId="0" fillId="0" borderId="23" xfId="0" applyNumberFormat="1" applyBorder="1"/>
    <xf numFmtId="0" fontId="0" fillId="4" borderId="22" xfId="0" applyFill="1" applyBorder="1"/>
    <xf numFmtId="0" fontId="1" fillId="3" borderId="0" xfId="0" applyFont="1" applyFill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823F2-47B1-4376-9756-982C17F8152A}">
  <sheetPr codeName="Tabelle2"/>
  <dimension ref="A1:N21"/>
  <sheetViews>
    <sheetView workbookViewId="0">
      <selection activeCell="M2" sqref="M2"/>
    </sheetView>
  </sheetViews>
  <sheetFormatPr baseColWidth="10" defaultRowHeight="15" x14ac:dyDescent="0.25"/>
  <cols>
    <col min="1" max="1" width="15.85546875" customWidth="1"/>
    <col min="2" max="2" width="13.85546875" customWidth="1"/>
    <col min="12" max="12" width="14.7109375" customWidth="1"/>
    <col min="13" max="13" width="14.85546875" bestFit="1" customWidth="1"/>
    <col min="14" max="14" width="15.140625" customWidth="1"/>
  </cols>
  <sheetData>
    <row r="1" spans="1:14" ht="15.75" thickBot="1" x14ac:dyDescent="0.3">
      <c r="A1" s="20" t="s">
        <v>27</v>
      </c>
      <c r="B1" s="20" t="s">
        <v>28</v>
      </c>
      <c r="C1" s="20" t="s">
        <v>29</v>
      </c>
      <c r="D1" s="20" t="s">
        <v>30</v>
      </c>
      <c r="E1" s="20" t="s">
        <v>38</v>
      </c>
      <c r="F1" s="20" t="s">
        <v>39</v>
      </c>
      <c r="G1" s="20" t="s">
        <v>40</v>
      </c>
      <c r="H1" s="20" t="s">
        <v>41</v>
      </c>
      <c r="I1" s="20" t="s">
        <v>42</v>
      </c>
      <c r="J1" s="20" t="s">
        <v>43</v>
      </c>
      <c r="K1" s="20" t="s">
        <v>35</v>
      </c>
      <c r="L1" s="20" t="s">
        <v>44</v>
      </c>
      <c r="M1" s="20" t="s">
        <v>50</v>
      </c>
      <c r="N1" s="20" t="s">
        <v>51</v>
      </c>
    </row>
    <row r="2" spans="1:14" s="20" customFormat="1" ht="15.75" thickTop="1" x14ac:dyDescent="0.25">
      <c r="A2" s="32" t="s">
        <v>17</v>
      </c>
      <c r="B2" s="22">
        <v>8.5</v>
      </c>
      <c r="C2" s="23">
        <v>0.3125</v>
      </c>
      <c r="D2" s="23">
        <v>0.6875</v>
      </c>
      <c r="E2" s="37"/>
      <c r="F2" s="37">
        <v>7</v>
      </c>
      <c r="G2" s="37">
        <v>7</v>
      </c>
      <c r="H2" s="37"/>
      <c r="I2" s="37"/>
      <c r="J2" s="37"/>
      <c r="K2" s="21" t="s">
        <v>36</v>
      </c>
      <c r="L2" s="38">
        <v>42</v>
      </c>
    </row>
    <row r="3" spans="1:14" x14ac:dyDescent="0.25">
      <c r="A3" s="33" t="s">
        <v>18</v>
      </c>
      <c r="B3" s="24">
        <v>8.5</v>
      </c>
      <c r="C3" s="25">
        <v>0.3125</v>
      </c>
      <c r="D3" s="25">
        <v>0.6875</v>
      </c>
      <c r="E3" s="37">
        <v>6</v>
      </c>
      <c r="F3" s="37">
        <v>4</v>
      </c>
      <c r="G3" s="37"/>
      <c r="H3" s="37"/>
      <c r="I3" s="37"/>
      <c r="J3" s="37"/>
    </row>
    <row r="4" spans="1:14" x14ac:dyDescent="0.25">
      <c r="A4" s="33" t="s">
        <v>19</v>
      </c>
      <c r="B4" s="24">
        <v>8.5</v>
      </c>
      <c r="C4" s="25">
        <v>0.47916666666666669</v>
      </c>
      <c r="D4" s="25">
        <v>0.85416666666666663</v>
      </c>
      <c r="E4" s="37">
        <v>1</v>
      </c>
      <c r="F4" s="37"/>
      <c r="G4" s="37">
        <v>3</v>
      </c>
      <c r="H4" s="37"/>
      <c r="I4" s="37"/>
      <c r="J4" s="37"/>
    </row>
    <row r="5" spans="1:14" x14ac:dyDescent="0.25">
      <c r="A5" s="33" t="s">
        <v>20</v>
      </c>
      <c r="B5" s="24">
        <v>8.25</v>
      </c>
      <c r="C5" s="25">
        <v>0.625</v>
      </c>
      <c r="D5" s="25">
        <v>0.98958333333333337</v>
      </c>
      <c r="E5" s="37">
        <v>5</v>
      </c>
      <c r="F5" s="37"/>
      <c r="G5" s="37">
        <v>6</v>
      </c>
      <c r="H5" s="37"/>
      <c r="I5" s="37"/>
      <c r="J5" s="37"/>
    </row>
    <row r="6" spans="1:14" x14ac:dyDescent="0.25">
      <c r="A6" s="33" t="s">
        <v>31</v>
      </c>
      <c r="B6" s="24">
        <v>9</v>
      </c>
      <c r="C6" s="25">
        <v>0.9375</v>
      </c>
      <c r="D6" s="25">
        <v>0.33333333333333331</v>
      </c>
      <c r="E6" s="37">
        <v>3</v>
      </c>
      <c r="F6" s="37">
        <v>3</v>
      </c>
      <c r="G6" s="37">
        <v>4</v>
      </c>
      <c r="H6" s="37"/>
      <c r="I6" s="37"/>
      <c r="J6" s="37"/>
    </row>
    <row r="7" spans="1:14" x14ac:dyDescent="0.25">
      <c r="A7" s="33" t="s">
        <v>32</v>
      </c>
      <c r="B7" s="24">
        <v>12</v>
      </c>
      <c r="C7" s="25">
        <v>0.3125</v>
      </c>
      <c r="D7" s="25">
        <v>0.84375</v>
      </c>
      <c r="E7" s="37">
        <v>4</v>
      </c>
      <c r="F7" s="37">
        <v>5</v>
      </c>
      <c r="G7" s="37"/>
      <c r="H7" s="37"/>
      <c r="I7" s="37"/>
      <c r="J7" s="37"/>
    </row>
    <row r="8" spans="1:14" ht="15.75" thickBot="1" x14ac:dyDescent="0.3">
      <c r="A8" s="33" t="s">
        <v>33</v>
      </c>
      <c r="B8" s="24">
        <v>12</v>
      </c>
      <c r="C8" s="25">
        <v>0.46875</v>
      </c>
      <c r="D8" s="25">
        <v>0.85416666666666663</v>
      </c>
      <c r="E8" s="37">
        <v>2</v>
      </c>
      <c r="F8" s="37"/>
      <c r="G8" s="37">
        <v>2</v>
      </c>
      <c r="H8" s="37"/>
      <c r="I8" s="37"/>
      <c r="J8" s="37"/>
    </row>
    <row r="9" spans="1:14" ht="15.75" thickBot="1" x14ac:dyDescent="0.3">
      <c r="A9" s="34" t="s">
        <v>34</v>
      </c>
      <c r="B9" s="27">
        <v>12</v>
      </c>
      <c r="C9" s="25">
        <v>0.8125</v>
      </c>
      <c r="D9" s="36">
        <v>0.34375</v>
      </c>
      <c r="E9" s="37"/>
      <c r="F9" s="37"/>
      <c r="G9" s="37"/>
      <c r="H9" s="37"/>
      <c r="I9" s="37"/>
      <c r="J9" s="37"/>
    </row>
    <row r="10" spans="1:14" x14ac:dyDescent="0.25">
      <c r="A10" s="33" t="s">
        <v>45</v>
      </c>
      <c r="B10" s="24">
        <v>1.0165999999999999</v>
      </c>
      <c r="C10" s="25">
        <v>0.4236111111111111</v>
      </c>
      <c r="D10" s="26">
        <v>0.46597222222222223</v>
      </c>
      <c r="E10" s="24"/>
      <c r="J10" s="28"/>
    </row>
    <row r="11" spans="1:14" x14ac:dyDescent="0.25">
      <c r="A11" s="33" t="s">
        <v>46</v>
      </c>
      <c r="B11" s="24"/>
      <c r="D11" s="28"/>
      <c r="E11" s="24"/>
      <c r="J11" s="28"/>
    </row>
    <row r="12" spans="1:14" x14ac:dyDescent="0.25">
      <c r="A12" s="33" t="s">
        <v>47</v>
      </c>
      <c r="B12" s="24"/>
      <c r="D12" s="28"/>
      <c r="E12" s="24"/>
      <c r="J12" s="28"/>
    </row>
    <row r="13" spans="1:14" x14ac:dyDescent="0.25">
      <c r="A13" s="33"/>
      <c r="B13" s="24"/>
      <c r="D13" s="28"/>
      <c r="E13" s="24"/>
      <c r="J13" s="28"/>
    </row>
    <row r="14" spans="1:14" x14ac:dyDescent="0.25">
      <c r="A14" s="33"/>
      <c r="B14" s="24"/>
      <c r="D14" s="28"/>
      <c r="E14" s="24"/>
      <c r="J14" s="28"/>
    </row>
    <row r="15" spans="1:14" x14ac:dyDescent="0.25">
      <c r="A15" s="33"/>
      <c r="B15" s="24"/>
      <c r="D15" s="28"/>
      <c r="E15" s="24"/>
      <c r="J15" s="28"/>
    </row>
    <row r="16" spans="1:14" x14ac:dyDescent="0.25">
      <c r="A16" s="33"/>
      <c r="B16" s="24"/>
      <c r="D16" s="28"/>
      <c r="E16" s="24"/>
      <c r="J16" s="28"/>
    </row>
    <row r="17" spans="1:10" x14ac:dyDescent="0.25">
      <c r="A17" s="33"/>
      <c r="B17" s="24"/>
      <c r="D17" s="28"/>
      <c r="E17" s="24"/>
      <c r="J17" s="28"/>
    </row>
    <row r="18" spans="1:10" x14ac:dyDescent="0.25">
      <c r="A18" s="33"/>
      <c r="B18" s="24"/>
      <c r="D18" s="28"/>
      <c r="E18" s="24"/>
      <c r="J18" s="28"/>
    </row>
    <row r="19" spans="1:10" x14ac:dyDescent="0.25">
      <c r="A19" s="33"/>
      <c r="B19" s="24"/>
      <c r="D19" s="28"/>
      <c r="E19" s="24"/>
      <c r="J19" s="28"/>
    </row>
    <row r="20" spans="1:10" ht="15.75" thickBot="1" x14ac:dyDescent="0.3">
      <c r="A20" s="35"/>
      <c r="B20" s="29"/>
      <c r="C20" s="30"/>
      <c r="D20" s="31"/>
      <c r="E20" s="29"/>
      <c r="F20" s="30"/>
      <c r="G20" s="30"/>
      <c r="H20" s="30"/>
      <c r="I20" s="30"/>
      <c r="J20" s="31"/>
    </row>
    <row r="21" spans="1:10" ht="15.75" thickTop="1" x14ac:dyDescent="0.25"/>
  </sheetData>
  <dataValidations count="1">
    <dataValidation type="list" allowBlank="1" showInputMessage="1" showErrorMessage="1" sqref="K2" xr:uid="{E59DEC1B-D437-4754-9615-EB3E01354F1B}">
      <formula1>"winter, summer"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988B1-5A10-4CDB-9234-B901120CFF67}">
  <sheetPr codeName="Tabelle3"/>
  <dimension ref="A1:E8"/>
  <sheetViews>
    <sheetView tabSelected="1" workbookViewId="0">
      <selection activeCell="C3" sqref="C3"/>
    </sheetView>
  </sheetViews>
  <sheetFormatPr baseColWidth="10" defaultRowHeight="15" x14ac:dyDescent="0.25"/>
  <cols>
    <col min="2" max="2" width="25.5703125" customWidth="1"/>
    <col min="3" max="3" width="14.7109375" customWidth="1"/>
    <col min="4" max="4" width="15.42578125" customWidth="1"/>
  </cols>
  <sheetData>
    <row r="1" spans="1:5" x14ac:dyDescent="0.25">
      <c r="A1" s="39" t="s">
        <v>48</v>
      </c>
      <c r="B1" s="39" t="s">
        <v>49</v>
      </c>
      <c r="C1" t="s">
        <v>50</v>
      </c>
      <c r="D1" t="s">
        <v>51</v>
      </c>
      <c r="E1" s="20" t="s">
        <v>35</v>
      </c>
    </row>
    <row r="2" spans="1:5" x14ac:dyDescent="0.25">
      <c r="A2" s="40" t="s">
        <v>38</v>
      </c>
      <c r="B2" s="40">
        <v>5</v>
      </c>
      <c r="C2">
        <v>4.3499999999999996</v>
      </c>
      <c r="D2">
        <v>0</v>
      </c>
      <c r="E2" s="21" t="s">
        <v>36</v>
      </c>
    </row>
    <row r="3" spans="1:5" x14ac:dyDescent="0.25">
      <c r="A3" s="40" t="s">
        <v>39</v>
      </c>
      <c r="B3" s="40"/>
    </row>
    <row r="4" spans="1:5" x14ac:dyDescent="0.25">
      <c r="A4" s="40" t="s">
        <v>40</v>
      </c>
      <c r="B4" s="40"/>
    </row>
    <row r="5" spans="1:5" x14ac:dyDescent="0.25">
      <c r="A5" s="40" t="s">
        <v>41</v>
      </c>
    </row>
    <row r="6" spans="1:5" x14ac:dyDescent="0.25">
      <c r="A6" s="40" t="s">
        <v>42</v>
      </c>
    </row>
    <row r="7" spans="1:5" x14ac:dyDescent="0.25">
      <c r="A7" s="40" t="s">
        <v>43</v>
      </c>
    </row>
    <row r="8" spans="1:5" x14ac:dyDescent="0.25">
      <c r="A8" s="40" t="s">
        <v>37</v>
      </c>
    </row>
  </sheetData>
  <phoneticPr fontId="2" type="noConversion"/>
  <dataValidations count="1">
    <dataValidation type="list" allowBlank="1" showInputMessage="1" showErrorMessage="1" sqref="E2" xr:uid="{273F5CE4-F423-4CE7-A5B1-66E6714E1980}">
      <formula1>"winter, summer"</formula1>
    </dataValidation>
  </dataValidation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794C-053C-4A5C-8621-F020D5D581A2}">
  <sheetPr codeName="Tabelle1"/>
  <dimension ref="A1:K43"/>
  <sheetViews>
    <sheetView workbookViewId="0">
      <selection activeCell="E16" sqref="E16"/>
    </sheetView>
  </sheetViews>
  <sheetFormatPr baseColWidth="10" defaultRowHeight="15" x14ac:dyDescent="0.25"/>
  <cols>
    <col min="1" max="1" width="21.28515625" customWidth="1"/>
    <col min="2" max="2" width="45.5703125" customWidth="1"/>
    <col min="3" max="3" width="11" customWidth="1"/>
  </cols>
  <sheetData>
    <row r="1" spans="1:11" ht="32.25" customHeight="1" x14ac:dyDescent="0.25">
      <c r="E1" s="12" t="s">
        <v>0</v>
      </c>
      <c r="F1" s="12"/>
      <c r="G1" s="12"/>
      <c r="H1" s="12"/>
      <c r="I1" s="12"/>
      <c r="J1" s="12"/>
      <c r="K1" s="12"/>
    </row>
    <row r="2" spans="1:11" s="3" customFormat="1" ht="29.25" customHeight="1" thickBot="1" x14ac:dyDescent="0.3">
      <c r="B2" s="1"/>
      <c r="C2" s="1" t="s">
        <v>16</v>
      </c>
      <c r="D2" s="1" t="s">
        <v>1</v>
      </c>
      <c r="E2" s="2">
        <v>45170</v>
      </c>
      <c r="F2" s="2">
        <v>45200</v>
      </c>
      <c r="G2" s="2">
        <v>45231</v>
      </c>
      <c r="H2" s="2">
        <v>45261</v>
      </c>
      <c r="I2" s="2">
        <v>45292</v>
      </c>
      <c r="J2" s="2">
        <v>45323</v>
      </c>
      <c r="K2" s="2">
        <v>45352</v>
      </c>
    </row>
    <row r="3" spans="1:11" x14ac:dyDescent="0.25">
      <c r="B3" s="4" t="s">
        <v>2</v>
      </c>
      <c r="C3" s="4"/>
      <c r="D3" s="4">
        <v>42</v>
      </c>
      <c r="E3" s="5"/>
      <c r="F3" s="5"/>
      <c r="G3" s="5"/>
      <c r="H3" s="5"/>
      <c r="I3" s="5"/>
      <c r="J3" s="5"/>
      <c r="K3" s="6"/>
    </row>
    <row r="4" spans="1:11" x14ac:dyDescent="0.25">
      <c r="B4" s="7" t="s">
        <v>3</v>
      </c>
      <c r="C4" s="7"/>
      <c r="D4" s="7">
        <f>D3/5</f>
        <v>8.4</v>
      </c>
      <c r="K4" s="8"/>
    </row>
    <row r="5" spans="1:11" ht="15.75" thickBot="1" x14ac:dyDescent="0.3">
      <c r="B5" s="9" t="s">
        <v>4</v>
      </c>
      <c r="C5" s="9"/>
      <c r="D5" s="7">
        <f>D4*21.75</f>
        <v>182.70000000000002</v>
      </c>
      <c r="K5" s="8"/>
    </row>
    <row r="6" spans="1:11" x14ac:dyDescent="0.25">
      <c r="A6" s="11" t="s">
        <v>23</v>
      </c>
      <c r="B6" s="4" t="s">
        <v>17</v>
      </c>
      <c r="C6" s="4">
        <v>8.5</v>
      </c>
      <c r="F6">
        <v>7</v>
      </c>
    </row>
    <row r="7" spans="1:11" x14ac:dyDescent="0.25">
      <c r="A7" s="11"/>
      <c r="B7" s="7" t="s">
        <v>25</v>
      </c>
      <c r="C7" s="7"/>
    </row>
    <row r="8" spans="1:11" x14ac:dyDescent="0.25">
      <c r="A8" s="11"/>
      <c r="B8" s="7" t="s">
        <v>26</v>
      </c>
      <c r="C8" s="7"/>
    </row>
    <row r="9" spans="1:11" x14ac:dyDescent="0.25">
      <c r="A9" s="11"/>
      <c r="B9" s="7" t="s">
        <v>18</v>
      </c>
      <c r="C9" s="7">
        <v>8.5</v>
      </c>
      <c r="F9">
        <v>2</v>
      </c>
    </row>
    <row r="10" spans="1:11" x14ac:dyDescent="0.25">
      <c r="A10" s="11"/>
      <c r="B10" s="7" t="s">
        <v>19</v>
      </c>
      <c r="C10" s="7">
        <v>8.5</v>
      </c>
    </row>
    <row r="11" spans="1:11" x14ac:dyDescent="0.25">
      <c r="A11" s="11"/>
      <c r="B11" s="7" t="s">
        <v>20</v>
      </c>
      <c r="C11" s="7">
        <v>8.25</v>
      </c>
    </row>
    <row r="12" spans="1:11" x14ac:dyDescent="0.25">
      <c r="A12" s="11"/>
      <c r="B12" s="7" t="s">
        <v>6</v>
      </c>
      <c r="C12" s="7">
        <v>9</v>
      </c>
      <c r="D12" s="7"/>
      <c r="F12">
        <v>3</v>
      </c>
      <c r="K12" s="8"/>
    </row>
    <row r="13" spans="1:11" x14ac:dyDescent="0.25">
      <c r="A13" s="11"/>
      <c r="B13" s="7" t="s">
        <v>21</v>
      </c>
      <c r="C13" s="7">
        <v>12</v>
      </c>
      <c r="D13" s="7"/>
      <c r="F13">
        <v>7</v>
      </c>
      <c r="K13" s="8"/>
    </row>
    <row r="14" spans="1:11" x14ac:dyDescent="0.25">
      <c r="A14" s="11"/>
      <c r="B14" s="7" t="s">
        <v>22</v>
      </c>
      <c r="C14" s="7">
        <v>12</v>
      </c>
      <c r="D14" s="7"/>
      <c r="K14" s="8"/>
    </row>
    <row r="15" spans="1:11" ht="15.75" thickBot="1" x14ac:dyDescent="0.3">
      <c r="A15" s="11"/>
      <c r="B15" s="9" t="s">
        <v>5</v>
      </c>
      <c r="C15" s="9">
        <v>12</v>
      </c>
    </row>
    <row r="16" spans="1:11" x14ac:dyDescent="0.25">
      <c r="A16" s="41" t="s">
        <v>24</v>
      </c>
      <c r="B16" s="4" t="s">
        <v>17</v>
      </c>
      <c r="C16" s="4">
        <v>8.5</v>
      </c>
      <c r="F16">
        <f>F9*B39</f>
        <v>17</v>
      </c>
    </row>
    <row r="17" spans="1:11" x14ac:dyDescent="0.25">
      <c r="A17" s="41"/>
      <c r="B17" s="7" t="s">
        <v>18</v>
      </c>
      <c r="C17" s="7">
        <v>8.5</v>
      </c>
      <c r="D17" s="7"/>
      <c r="F17">
        <f>F11*B40</f>
        <v>0</v>
      </c>
      <c r="K17" s="8"/>
    </row>
    <row r="18" spans="1:11" x14ac:dyDescent="0.25">
      <c r="A18" s="41"/>
      <c r="B18" s="7" t="s">
        <v>19</v>
      </c>
      <c r="C18" s="7">
        <v>8.5</v>
      </c>
      <c r="D18" s="7"/>
      <c r="F18">
        <f>F12*B41</f>
        <v>27</v>
      </c>
      <c r="K18" s="8"/>
    </row>
    <row r="19" spans="1:11" x14ac:dyDescent="0.25">
      <c r="A19" s="41"/>
      <c r="B19" s="7" t="s">
        <v>20</v>
      </c>
      <c r="C19" s="7">
        <v>8.25</v>
      </c>
      <c r="F19">
        <f>F13*B42</f>
        <v>84</v>
      </c>
    </row>
    <row r="20" spans="1:11" x14ac:dyDescent="0.25">
      <c r="A20" s="41"/>
      <c r="B20" s="7" t="s">
        <v>6</v>
      </c>
      <c r="C20" s="7">
        <v>9</v>
      </c>
      <c r="F20">
        <f>F15*B43</f>
        <v>0</v>
      </c>
    </row>
    <row r="21" spans="1:11" x14ac:dyDescent="0.25">
      <c r="A21" s="10"/>
      <c r="B21" s="7" t="s">
        <v>21</v>
      </c>
      <c r="C21" s="7">
        <v>12</v>
      </c>
    </row>
    <row r="22" spans="1:11" x14ac:dyDescent="0.25">
      <c r="A22" s="10"/>
      <c r="B22" s="7" t="s">
        <v>22</v>
      </c>
      <c r="C22" s="7">
        <v>12</v>
      </c>
      <c r="D22" s="7"/>
      <c r="K22" s="8"/>
    </row>
    <row r="23" spans="1:11" ht="15.75" thickBot="1" x14ac:dyDescent="0.3">
      <c r="A23" s="10"/>
      <c r="B23" s="9" t="s">
        <v>5</v>
      </c>
      <c r="C23" s="9">
        <v>12</v>
      </c>
      <c r="D23" s="7"/>
      <c r="K23" s="8"/>
    </row>
    <row r="24" spans="1:11" x14ac:dyDescent="0.25">
      <c r="A24" s="10"/>
      <c r="B24" s="7" t="s">
        <v>8</v>
      </c>
      <c r="C24" s="7"/>
      <c r="D24" s="7"/>
      <c r="F24">
        <v>3</v>
      </c>
      <c r="K24" s="8"/>
    </row>
    <row r="25" spans="1:11" ht="15.75" thickBot="1" x14ac:dyDescent="0.3">
      <c r="A25" s="10"/>
      <c r="B25" s="7" t="s">
        <v>9</v>
      </c>
      <c r="C25" s="7"/>
      <c r="F25">
        <v>1.5</v>
      </c>
    </row>
    <row r="26" spans="1:11" x14ac:dyDescent="0.25">
      <c r="B26" s="13" t="s">
        <v>11</v>
      </c>
      <c r="C26" s="14"/>
      <c r="D26" s="7"/>
      <c r="F26">
        <f>SUM(F16:F20)</f>
        <v>128</v>
      </c>
      <c r="K26" s="8"/>
    </row>
    <row r="27" spans="1:11" ht="15.75" thickBot="1" x14ac:dyDescent="0.3">
      <c r="B27" s="15" t="s">
        <v>12</v>
      </c>
      <c r="C27" s="7"/>
      <c r="D27" s="7"/>
      <c r="F27">
        <f>F26/F24</f>
        <v>42.666666666666664</v>
      </c>
      <c r="K27" s="8"/>
    </row>
    <row r="28" spans="1:11" x14ac:dyDescent="0.25">
      <c r="B28" s="16" t="s">
        <v>13</v>
      </c>
      <c r="C28" s="17"/>
      <c r="D28" s="7"/>
      <c r="F28">
        <f>F6*B38</f>
        <v>59.5</v>
      </c>
      <c r="K28" s="8"/>
    </row>
    <row r="29" spans="1:11" x14ac:dyDescent="0.25">
      <c r="B29" s="18" t="s">
        <v>14</v>
      </c>
      <c r="C29" s="7"/>
      <c r="D29" s="7"/>
      <c r="F29">
        <f>F26+F28</f>
        <v>187.5</v>
      </c>
      <c r="K29" s="8"/>
    </row>
    <row r="30" spans="1:11" x14ac:dyDescent="0.25">
      <c r="B30" s="16" t="s">
        <v>15</v>
      </c>
      <c r="C30" s="17"/>
      <c r="F30">
        <f>F29/4.333</f>
        <v>43.272559427648282</v>
      </c>
    </row>
    <row r="31" spans="1:11" x14ac:dyDescent="0.25">
      <c r="B31" s="7"/>
      <c r="C31" s="7"/>
    </row>
    <row r="32" spans="1:11" ht="15.75" thickBot="1" x14ac:dyDescent="0.3">
      <c r="B32" s="19" t="s">
        <v>7</v>
      </c>
      <c r="C32" s="19"/>
    </row>
    <row r="37" spans="2:2" x14ac:dyDescent="0.25">
      <c r="B37" t="s">
        <v>10</v>
      </c>
    </row>
    <row r="38" spans="2:2" x14ac:dyDescent="0.25">
      <c r="B38">
        <v>8.5</v>
      </c>
    </row>
    <row r="39" spans="2:2" x14ac:dyDescent="0.25">
      <c r="B39">
        <v>8.5</v>
      </c>
    </row>
    <row r="40" spans="2:2" x14ac:dyDescent="0.25">
      <c r="B40">
        <v>8.25</v>
      </c>
    </row>
    <row r="41" spans="2:2" x14ac:dyDescent="0.25">
      <c r="B41">
        <v>9</v>
      </c>
    </row>
    <row r="42" spans="2:2" x14ac:dyDescent="0.25">
      <c r="B42">
        <v>12</v>
      </c>
    </row>
    <row r="43" spans="2:2" x14ac:dyDescent="0.25">
      <c r="B43">
        <v>12</v>
      </c>
    </row>
  </sheetData>
  <mergeCells count="1">
    <mergeCell ref="A16:A20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Schichten</vt:lpstr>
      <vt:lpstr>Zusatzinformationen</vt:lpstr>
      <vt:lpstr>Arbeitsstunden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Clusmann, Jan Niklas</dc:creator>
  <cp:lastModifiedBy>Jan Clusmann</cp:lastModifiedBy>
  <dcterms:created xsi:type="dcterms:W3CDTF">2023-10-01T16:46:48Z</dcterms:created>
  <dcterms:modified xsi:type="dcterms:W3CDTF">2023-10-06T15:01:11Z</dcterms:modified>
</cp:coreProperties>
</file>